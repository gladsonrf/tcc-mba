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Culturas" sheetId="2" state="visible" r:id="rId4"/>
    <sheet name="Exportacoes_agro" sheetId="3" state="visible" r:id="rId5"/>
    <sheet name="Fertilizantes_NCM" sheetId="4" state="visible" r:id="rId6"/>
    <sheet name="Sazonalidade_importacao" sheetId="5" state="visible" r:id="rId7"/>
    <sheet name="Calendario" sheetId="6" state="visible" r:id="rId8"/>
    <sheet name="Font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<sst xmlns="http://schemas.openxmlformats.org/spreadsheetml/2006/main" count="406" uniqueCount="261">
  <si>
    <t xml:space="preserve">Planilha de culturas e fertilizantes – TCC Previsão do preço de importação de fertilizantes</t>
  </si>
  <si>
    <t xml:space="preserve">Objetivo: delimitar as culturas do agro que mais demandam fertilizantes e quando ocorre a compra (pré-plantio),</t>
  </si>
  <si>
    <t xml:space="preserve">conforme sugestão do orientador (Prof. Edward, reunião de 10/10/2026).</t>
  </si>
  <si>
    <t xml:space="preserve">Abas:</t>
  </si>
  <si>
    <t xml:space="preserve">  Culturas – resumo por cultura: exportações, nutrientes, fertilizantes-chave, calendário e prioridade no estudo.</t>
  </si>
  <si>
    <t xml:space="preserve">  Calendario – plantio (P) e colheita (C) por mês (Conab) e participação mensal do volume importado.</t>
  </si>
  <si>
    <t xml:space="preserve">  Fertilizantes_NCM – NCMs dos fertilizantes do estudo, volume e preço de 2025.</t>
  </si>
  <si>
    <t xml:space="preserve">  Sazonalidade_importacao – volume importado por mês (2015–2025) e testes de sazonalidade de preço.</t>
  </si>
  <si>
    <t xml:space="preserve">  Exportacoes_agro – exportações dos principais produtos do agro (ComexStat), 2023–2025.</t>
  </si>
  <si>
    <t xml:space="preserve">  Fontes – referências de cada informação.</t>
  </si>
  <si>
    <t xml:space="preserve">Legenda de cores: texto azul = dado de entrada (fonte citada); preto = fórmula; verde = vínculo com outra aba.</t>
  </si>
  <si>
    <t xml:space="preserve">Células com 'a confirmar' ainda precisam de checagem em fonte primária.</t>
  </si>
  <si>
    <t xml:space="preserve">Dados gerados pelos scripts do repositório (src/06_exportacoes_agro.py e src/01_baixar_comexstat.py).</t>
  </si>
  <si>
    <t xml:space="preserve">Culturas do agro, fertilizantes e janela de compra – base para delimitar o estudo</t>
  </si>
  <si>
    <t xml:space="preserve">Cultura</t>
  </si>
  <si>
    <t xml:space="preserve">Produtos exportados (SH4)</t>
  </si>
  <si>
    <t xml:space="preserve">Exportação 2025 (US$ bi)</t>
  </si>
  <si>
    <t xml:space="preserve">Nutrientes mais demandados</t>
  </si>
  <si>
    <t xml:space="preserve">Fertilizantes-chave (NCM)</t>
  </si>
  <si>
    <t xml:space="preserve">Principais regiões</t>
  </si>
  <si>
    <t xml:space="preserve">Plantio (Conab)</t>
  </si>
  <si>
    <t xml:space="preserve">Colheita (Conab)</t>
  </si>
  <si>
    <t xml:space="preserve">Janela provável de compra/importação</t>
  </si>
  <si>
    <t xml:space="preserve">Prioridade no TCC</t>
  </si>
  <si>
    <t xml:space="preserve">Observações</t>
  </si>
  <si>
    <t xml:space="preserve">Soja</t>
  </si>
  <si>
    <t xml:space="preserve">1201, 2304, 1507</t>
  </si>
  <si>
    <t xml:space="preserve">P e K (N via fixação biológica)</t>
  </si>
  <si>
    <t xml:space="preserve">KCl (31042090); MAP (31054000)</t>
  </si>
  <si>
    <t xml:space="preserve">MT, PR, GO, RS, MS</t>
  </si>
  <si>
    <t xml:space="preserve">Set–Dez</t>
  </si>
  <si>
    <t xml:space="preserve">Jan–Mai</t>
  </si>
  <si>
    <t xml:space="preserve">Mai–Set (pico de importação de K e NPK)</t>
  </si>
  <si>
    <t xml:space="preserve">Alta</t>
  </si>
  <si>
    <t xml:space="preserve">Maior exportação do agro. Robustez principal sugerida pelo orientador: modelos de KCl e MAP avaliados na janela pré-plantio.</t>
  </si>
  <si>
    <t xml:space="preserve">Milho (1ª e 2ª safra)</t>
  </si>
  <si>
    <t xml:space="preserve">1005</t>
  </si>
  <si>
    <t xml:space="preserve">N (principal), P, K</t>
  </si>
  <si>
    <t xml:space="preserve">Ureia (31021010); sulfato de amônio (31022100); MAP</t>
  </si>
  <si>
    <t xml:space="preserve">MT, PR, GO, MS</t>
  </si>
  <si>
    <t xml:space="preserve">1ª: Set–Dez · 2ª: Jan–Mar</t>
  </si>
  <si>
    <t xml:space="preserve">1ª: Fev–Jun · 2ª: Mai–Set</t>
  </si>
  <si>
    <t xml:space="preserve">N: Set–Dez (pico de importação de N)</t>
  </si>
  <si>
    <t xml:space="preserve">Principal usuário de ureia. Milho 2ª safra é plantado logo após a soja.</t>
  </si>
  <si>
    <t xml:space="preserve">Cana-de-açúcar</t>
  </si>
  <si>
    <t xml:space="preserve">1701, 2207</t>
  </si>
  <si>
    <t xml:space="preserve">K e N</t>
  </si>
  <si>
    <t xml:space="preserve">KCl; ureia; sulfato de amônio</t>
  </si>
  <si>
    <t xml:space="preserve">SP, GO, MG, MS, PR</t>
  </si>
  <si>
    <t xml:space="preserve">Jan–Mar (ano e meio); Out–Nov (de ano)</t>
  </si>
  <si>
    <t xml:space="preserve">Abr–Nov (a confirmar)</t>
  </si>
  <si>
    <t xml:space="preserve">Set–Dez e Jan–Mar (a confirmar)</t>
  </si>
  <si>
    <t xml:space="preserve">Soja, milho e cana somam ~72% do consumo de fertilizantes (MAPA/PNF, 2020).</t>
  </si>
  <si>
    <t xml:space="preserve">Café</t>
  </si>
  <si>
    <t xml:space="preserve">0901</t>
  </si>
  <si>
    <t xml:space="preserve">N e K</t>
  </si>
  <si>
    <t xml:space="preserve">Ureia; KCl; sulfato de amônio</t>
  </si>
  <si>
    <t xml:space="preserve">MG, ES, SP</t>
  </si>
  <si>
    <t xml:space="preserve">Perene</t>
  </si>
  <si>
    <t xml:space="preserve">Mai–Set (a confirmar)</t>
  </si>
  <si>
    <t xml:space="preserve">Ago–Nov, antes das chuvas (a confirmar)</t>
  </si>
  <si>
    <t xml:space="preserve">Média</t>
  </si>
  <si>
    <t xml:space="preserve">2ª maior exportação do agro em 2025; cultura perene: adubação parcelada no período chuvoso.</t>
  </si>
  <si>
    <t xml:space="preserve">Algodão</t>
  </si>
  <si>
    <t xml:space="preserve">5201</t>
  </si>
  <si>
    <t xml:space="preserve">Ureia; KCl</t>
  </si>
  <si>
    <t xml:space="preserve">MT, BA, GO</t>
  </si>
  <si>
    <t xml:space="preserve">Nov–Fev</t>
  </si>
  <si>
    <t xml:space="preserve">Jun–Set</t>
  </si>
  <si>
    <t xml:space="preserve">Ago–Dez (a confirmar)</t>
  </si>
  <si>
    <t xml:space="preserve">Em MT, plantado como 2ª safra após a soja.</t>
  </si>
  <si>
    <t xml:space="preserve">Trigo</t>
  </si>
  <si>
    <t xml:space="preserve">—</t>
  </si>
  <si>
    <t xml:space="preserve">N</t>
  </si>
  <si>
    <t xml:space="preserve">Ureia</t>
  </si>
  <si>
    <t xml:space="preserve">PR, RS</t>
  </si>
  <si>
    <t xml:space="preserve">Abr–Jul</t>
  </si>
  <si>
    <t xml:space="preserve">Ago–Dez</t>
  </si>
  <si>
    <t xml:space="preserve">Fev–Mai (a confirmar)</t>
  </si>
  <si>
    <t xml:space="preserve">Baixa</t>
  </si>
  <si>
    <t xml:space="preserve">Brasil é importador de trigo; área pequena frente a soja e milho.</t>
  </si>
  <si>
    <t xml:space="preserve">Pecuária (carnes)</t>
  </si>
  <si>
    <t xml:space="preserve">0202, 0207, 0203</t>
  </si>
  <si>
    <t xml:space="preserve">Indireto (milho e soja na ração); pastagens</t>
  </si>
  <si>
    <t xml:space="preserve">Diversas</t>
  </si>
  <si>
    <t xml:space="preserve">Não modelar diretamente: efeito passa por milho e soja.</t>
  </si>
  <si>
    <t xml:space="preserve">Celulose, laranja, fumo</t>
  </si>
  <si>
    <t xml:space="preserve">4703, 2009, 2401</t>
  </si>
  <si>
    <t xml:space="preserve">Variado</t>
  </si>
  <si>
    <t xml:space="preserve">Pequena participação no consumo de fertilizantes.</t>
  </si>
  <si>
    <t xml:space="preserve">Proposta para o TCC: um modelo por fertilizante (ureia, KCl, MAP) e, como robustez, a soja (KCl e MAP) avaliada na janela pré-plantio.</t>
  </si>
  <si>
    <t xml:space="preserve">Exportação 2025 vem da aba Exportacoes_agro (fórmula). 'a confirmar' = checar em fonte primária (Conab cana/café).</t>
  </si>
  <si>
    <t xml:space="preserve">Para preencher: novas culturas entram como nova linha; mantenha o texto azul para dados de entrada e cite a fonte na aba Fontes.</t>
  </si>
  <si>
    <t xml:space="preserve">Exportações dos principais produtos do agro – US$ bilhões (FOB)</t>
  </si>
  <si>
    <t xml:space="preserve">SH4</t>
  </si>
  <si>
    <t xml:space="preserve">Produto</t>
  </si>
  <si>
    <t xml:space="preserve">Cultura de origem</t>
  </si>
  <si>
    <t xml:space="preserve">2023</t>
  </si>
  <si>
    <t xml:space="preserve">2024</t>
  </si>
  <si>
    <t xml:space="preserve">2025</t>
  </si>
  <si>
    <t xml:space="preserve">Part. 2025 no grupo</t>
  </si>
  <si>
    <t xml:space="preserve">1201</t>
  </si>
  <si>
    <t xml:space="preserve">Soja em grão</t>
  </si>
  <si>
    <t xml:space="preserve">0202</t>
  </si>
  <si>
    <t xml:space="preserve">Carne bovina congelada</t>
  </si>
  <si>
    <t xml:space="preserve">Pecuária</t>
  </si>
  <si>
    <t xml:space="preserve">1701</t>
  </si>
  <si>
    <t xml:space="preserve">Açúcar</t>
  </si>
  <si>
    <t xml:space="preserve">4703</t>
  </si>
  <si>
    <t xml:space="preserve">Celulose</t>
  </si>
  <si>
    <t xml:space="preserve">Eucalipto/silvicultura</t>
  </si>
  <si>
    <t xml:space="preserve">0207</t>
  </si>
  <si>
    <t xml:space="preserve">Carne de frango</t>
  </si>
  <si>
    <t xml:space="preserve">Milho</t>
  </si>
  <si>
    <t xml:space="preserve">2304</t>
  </si>
  <si>
    <t xml:space="preserve">Farelo de soja</t>
  </si>
  <si>
    <t xml:space="preserve">2009</t>
  </si>
  <si>
    <t xml:space="preserve">Suco de frutas (laranja)</t>
  </si>
  <si>
    <t xml:space="preserve">Laranja</t>
  </si>
  <si>
    <t xml:space="preserve">0203</t>
  </si>
  <si>
    <t xml:space="preserve">Carne suína</t>
  </si>
  <si>
    <t xml:space="preserve">2401</t>
  </si>
  <si>
    <t xml:space="preserve">Fumo</t>
  </si>
  <si>
    <t xml:space="preserve">1507</t>
  </si>
  <si>
    <t xml:space="preserve">Óleo de soja</t>
  </si>
  <si>
    <t xml:space="preserve">2207</t>
  </si>
  <si>
    <t xml:space="preserve">Etanol</t>
  </si>
  <si>
    <t xml:space="preserve">Total dos produtos listados</t>
  </si>
  <si>
    <t xml:space="preserve">Fonte: ComexStat/MDIC, exportações por posição SH4, valor FOB. Baixado via API em 10/10/2026 (src/06_exportacoes_agro.py).</t>
  </si>
  <si>
    <t xml:space="preserve">Fertilizantes do estudo – NCM, volume e preço médio de importação (2025)</t>
  </si>
  <si>
    <t xml:space="preserve">NCM</t>
  </si>
  <si>
    <t xml:space="preserve">Descrição</t>
  </si>
  <si>
    <t xml:space="preserve">Nutriente</t>
  </si>
  <si>
    <t xml:space="preserve">Volume 2025 (Mt)</t>
  </si>
  <si>
    <t xml:space="preserve">Valor FOB 2025 (US$ mi)</t>
  </si>
  <si>
    <t xml:space="preserve">Preço médio 2025 (US$/t)</t>
  </si>
  <si>
    <t xml:space="preserve">Primeiro ano</t>
  </si>
  <si>
    <t xml:space="preserve">Meses com dado</t>
  </si>
  <si>
    <t xml:space="preserve">Culturas que mais usam</t>
  </si>
  <si>
    <t xml:space="preserve">Uso no TCC</t>
  </si>
  <si>
    <t xml:space="preserve">31021010</t>
  </si>
  <si>
    <t xml:space="preserve">Ureia (N &gt; 45%)</t>
  </si>
  <si>
    <t xml:space="preserve">Milho (1ª e 2ª safra), cana, café, algodão, trigo</t>
  </si>
  <si>
    <t xml:space="preserve">Modelo por produto (N)</t>
  </si>
  <si>
    <t xml:space="preserve">31022100</t>
  </si>
  <si>
    <t xml:space="preserve">Sulfato de amônio</t>
  </si>
  <si>
    <t xml:space="preserve">N + S</t>
  </si>
  <si>
    <t xml:space="preserve">Cana, café, milho; substituto da ureia em 2026</t>
  </si>
  <si>
    <t xml:space="preserve">Robustez (N)</t>
  </si>
  <si>
    <t xml:space="preserve">31042090</t>
  </si>
  <si>
    <t xml:space="preserve">Outros cloretos de potássio (principal NCM de KCl)</t>
  </si>
  <si>
    <t xml:space="preserve">K</t>
  </si>
  <si>
    <t xml:space="preserve">Soja, cana, café, algodão</t>
  </si>
  <si>
    <t xml:space="preserve">Modelo por produto (K) – foco soja</t>
  </si>
  <si>
    <t xml:space="preserve">31042010</t>
  </si>
  <si>
    <t xml:space="preserve">Cloreto de potássio, K2O ≤ 60%</t>
  </si>
  <si>
    <t xml:space="preserve">Soja, cana</t>
  </si>
  <si>
    <t xml:space="preserve">Pouco volume – somar ao KCl</t>
  </si>
  <si>
    <t xml:space="preserve">31054000</t>
  </si>
  <si>
    <t xml:space="preserve">MAP (fosfato monoamônico)</t>
  </si>
  <si>
    <t xml:space="preserve">P + N</t>
  </si>
  <si>
    <t xml:space="preserve">Soja, milho, algodão</t>
  </si>
  <si>
    <t xml:space="preserve">Modelo por produto (P) – foco soja</t>
  </si>
  <si>
    <t xml:space="preserve">31053000</t>
  </si>
  <si>
    <t xml:space="preserve">DAP (fosfato diamônico)</t>
  </si>
  <si>
    <t xml:space="preserve">Milho, algodão</t>
  </si>
  <si>
    <t xml:space="preserve">Série com muitos meses vazios – não modelar</t>
  </si>
  <si>
    <t xml:space="preserve">Preço médio = valor FOB ÷ volume (fórmula). Fonte: ComexStat/MDIC, importações por NCM, jan/1997–ago/2026 (src/01_baixar_comexstat.py).</t>
  </si>
  <si>
    <t xml:space="preserve">Soja: fixação biológica de nitrogênio (Bradyrhizobium) supre quase todo o N; por isso o foco da soja é K e P (Embrapa; MAPA/PNF).</t>
  </si>
  <si>
    <t xml:space="preserve">Volume importado por mês – soma 2015–2025 (milhões de t) e participação mensal</t>
  </si>
  <si>
    <t xml:space="preserve">Posição</t>
  </si>
  <si>
    <t xml:space="preserve">Grupo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</si>
  <si>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</si>
  <si>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</si>
  <si>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</si>
  <si>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</si>
  <si>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</si>
  <si>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</si>
  <si>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</si>
  <si>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</si>
  <si>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</si>
  <si>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</si>
  <si>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</si>
  <si>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</si>
  <si>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Total</t>
  </si>
  <si>
    <t xml:space="preserve">3102</t>
  </si>
  <si>
    <t xml:space="preserve">Nitrogenados</t>
  </si>
  <si>
    <t xml:space="preserve">3104</t>
  </si>
  <si>
    <t xml:space="preserve">Potássicos</t>
  </si>
  <si>
    <t xml:space="preserve">3105</t>
  </si>
  <si>
    <t xml:space="preserve">NPK, MAP, DAP (mistos)</t>
  </si>
  <si>
    <t xml:space="preserve">Participação mensal (% do volume anual)</t>
  </si>
  <si>
    <t xml:space="preserve">Teste de sazonalidade no preço (dummies mensais na variação log, 2000–2025, erros robustos HC1)</t>
  </si>
  <si>
    <t xml:space="preserve">Série</t>
  </si>
  <si>
    <t xml:space="preserve">Fonte</t>
  </si>
  <si>
    <t xml:space="preserve">p-valor (F)</t>
  </si>
  <si>
    <t xml:space="preserve">Leitura</t>
  </si>
  <si>
    <t xml:space="preserve">Ureia (internacional)</t>
  </si>
  <si>
    <t xml:space="preserve">Banco Mundial</t>
  </si>
  <si>
    <t xml:space="preserve">Sem sazonalidade significativa a 5%</t>
  </si>
  <si>
    <t xml:space="preserve">Cloreto de potássio (internacional)</t>
  </si>
  <si>
    <t xml:space="preserve">Sem sazonalidade</t>
  </si>
  <si>
    <t xml:space="preserve">DAP (internacional)</t>
  </si>
  <si>
    <t xml:space="preserve">Sazonalidade significativa</t>
  </si>
  <si>
    <t xml:space="preserve">Nitrogenados – importação BR (3102)</t>
  </si>
  <si>
    <t xml:space="preserve">ComexStat</t>
  </si>
  <si>
    <t xml:space="preserve">Fraca (significativa só a 10%)</t>
  </si>
  <si>
    <t xml:space="preserve">Potássicos – importação BR (3104)</t>
  </si>
  <si>
    <t xml:space="preserve">NPK/MAP – importação BR (3105)</t>
  </si>
  <si>
    <t xml:space="preserve">Leitura: o VOLUME importado é sazonal (K e NPK concentram mai–set, antes do plantio da soja; N concentra set–dez). O PREÇO é pouco sazonal, exceto fosfatados. Cálculo próprio a partir do ComexStat e da Pink Sheet (10/10/2026); refazer no notebook de EDA.</t>
  </si>
  <si>
    <t xml:space="preserve">Calendário agrícola (P = plantio, C = colheita, P/C = ambos) e janela de importação</t>
  </si>
  <si>
    <t xml:space="preserve">Região de referência</t>
  </si>
  <si>
    <t xml:space="preserve">Centro-Oeste (MT, GO, MS)</t>
  </si>
  <si>
    <t xml:space="preserve">C</t>
  </si>
  <si>
    <t xml:space="preserve">P</t>
  </si>
  <si>
    <t xml:space="preserve">Conab, Calendário de plantio e colheita (2022), p. 54–55</t>
  </si>
  <si>
    <t xml:space="preserve">Sul (PR, RS, SC)</t>
  </si>
  <si>
    <t xml:space="preserve">P/C</t>
  </si>
  <si>
    <t xml:space="preserve">Milho 1ª safra</t>
  </si>
  <si>
    <t xml:space="preserve">Centro-Oeste</t>
  </si>
  <si>
    <t xml:space="preserve">Conab (2022), p. 43</t>
  </si>
  <si>
    <t xml:space="preserve">Milho 2ª safra (safrinha)</t>
  </si>
  <si>
    <t xml:space="preserve">Conab (2022), p. 48</t>
  </si>
  <si>
    <t xml:space="preserve">Centro-Oeste (MT, GO)</t>
  </si>
  <si>
    <t xml:space="preserve">Conab (2022), p. 12</t>
  </si>
  <si>
    <t xml:space="preserve">Conab (2022), p. 69</t>
  </si>
  <si>
    <t xml:space="preserve">Centro-Sul</t>
  </si>
  <si>
    <t xml:space="preserve">Plantio: Agrolink (ano e meio jan–mar; de ano out–nov). Colheita: a confirmar (Conab cana)</t>
  </si>
  <si>
    <t xml:space="preserve">Café (arábica)</t>
  </si>
  <si>
    <t xml:space="preserve">Sudeste (MG, SP)</t>
  </si>
  <si>
    <t xml:space="preserve">Colheita: a confirmar (Conab café). Perene: adubação nas chuvas (out–mar), a confirmar</t>
  </si>
  <si>
    <t xml:space="preserve">Participação mensal do volume importado (2015–2025)</t>
  </si>
  <si>
    <t xml:space="preserve">Brasil – importação</t>
  </si>
  <si>
    <t xml:space="preserve">Leitura: K e NPK são importados sobretudo de mai a set, antes do plantio da soja (set–dez); N concentra set–dez (milho 1ª safra e cobertura, cana). A janela de compra precede o plantio.</t>
  </si>
  <si>
    <t xml:space="preserve">Fontes</t>
  </si>
  <si>
    <t xml:space="preserve">Informação</t>
  </si>
  <si>
    <t xml:space="preserve">Link / observação</t>
  </si>
  <si>
    <t xml:space="preserve">Exportações do agro</t>
  </si>
  <si>
    <t xml:space="preserve">ComexStat/MDIC – exportações por SH4 (API)</t>
  </si>
  <si>
    <t xml:space="preserve">https://comexstat.mdic.gov.br – baixado em 10/10/2026</t>
  </si>
  <si>
    <t xml:space="preserve">Importações de fertilizantes</t>
  </si>
  <si>
    <t xml:space="preserve">ComexStat/MDIC – importações por SH4 e NCM (API)</t>
  </si>
  <si>
    <t xml:space="preserve">https://comexstat.mdic.gov.br – jan/1997 a ago/2026</t>
  </si>
  <si>
    <t xml:space="preserve">Preços internacionais</t>
  </si>
  <si>
    <t xml:space="preserve">Banco Mundial – Pink Sheet (out/2026)</t>
  </si>
  <si>
    <t xml:space="preserve">https://www.worldbank.org/en/research/commodity-markets</t>
  </si>
  <si>
    <t xml:space="preserve">Calendário de grãos e algodão</t>
  </si>
  <si>
    <t xml:space="preserve">Conab – Calendário de plantio e colheita de grãos no Brasil (2022)</t>
  </si>
  <si>
    <t xml:space="preserve">https://www.gov.br/conab/pt-br/acesso-a-informacao/institucional/publicacoes/arquivos-de-paginas/calendariozplantiozezcolheitazjunz2022.pdf</t>
  </si>
  <si>
    <t xml:space="preserve">Plantio da cana</t>
  </si>
  <si>
    <t xml:space="preserve">Agrolink – Plantio da cana-de-açúcar</t>
  </si>
  <si>
    <t xml:space="preserve">https://www.agrolink.com.br/culturas/cana-de-acucar/informacoes-da-cultura/pre-plantio-e-plantio/plantio-da-cana-de-acucar_438272.html</t>
  </si>
  <si>
    <t xml:space="preserve">Consumo por cultura (soja+milho+cana = 72%, 2020)</t>
  </si>
  <si>
    <t xml:space="preserve">MAPA – Plano Nacional de Fertilizantes, estatísticas do setor</t>
  </si>
  <si>
    <t xml:space="preserve">https://www.gov.br/agricultura/pt-br/assuntos/insumos-agropecuarios/insumos-agricolas/fertilizantes/plano-nacional-de-fertilizantes/estatisticas-do-setor</t>
  </si>
  <si>
    <t xml:space="preserve">Fixação biológica de N na soja</t>
  </si>
  <si>
    <t xml:space="preserve">Embrapa; Conecta Agro Brasil (09/09/2026)</t>
  </si>
  <si>
    <t xml:space="preserve">https://conectaagrobrasil.com.br/agricultura/consumo-de-fertilizantes-por-soja-milho-e-cana-no-brasil-passa-de-70-por-que-tres-culturas-concentram-tanto-adubo/</t>
  </si>
  <si>
    <t xml:space="preserve">Sazonalidade e choques</t>
  </si>
  <si>
    <t xml:space="preserve">Cálculo próprio (ComexStat e Pink Sheet)</t>
  </si>
  <si>
    <t xml:space="preserve">Refazer e documentar no notebook de análise exploratória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</si>
</sst>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"/>
    <numFmt numFmtId="166" formatCode="0.0%"/>
    <numFmt numFmtId="167" formatCode="0.00"/>
    <numFmt numFmtId="168" formatCode="#,##0.0"/>
    <numFmt numFmtId="169" formatCode="#,##0"/>
    <numFmt numFmtId="170" formatCode="0%"/>
    <numFmt numFmtId="171" formatCode="0.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A5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theme="1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1DA"/>
      </left>
      <right style="thin">
        <color rgb="FFC9D1DA"/>
      </right>
      <top style="thin">
        <color rgb="FFC9D1DA"/>
      </top>
      <bottom style="thin">
        <color rgb="FFC9D1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F6C28B"/>
        </patternFill>
      </fill>
    </dxf>
    <dxf>
      <fill>
        <patternFill>
          <bgColor rgb="FFFBE3C4"/>
        </patternFill>
      </fill>
    </dxf>
    <dxf>
      <fill>
        <patternFill>
          <bgColor rgb="FFA9C4E8"/>
        </patternFill>
      </fill>
    </dxf>
    <dxf>
      <fill>
        <patternFill>
          <bgColor rgb="FFB8DDB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DDB0"/>
      <rgbColor rgb="FF808080"/>
      <rgbColor rgb="FF9999FF"/>
      <rgbColor rgb="FF993366"/>
      <rgbColor rgb="FFFBE3C4"/>
      <rgbColor rgb="FFCCFFFF"/>
      <rgbColor rgb="FF660066"/>
      <rgbColor rgb="FFFF8080"/>
      <rgbColor rgb="FF0066CC"/>
      <rgbColor rgb="FFC9D1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9C4E8"/>
      <rgbColor rgb="FFFF99CC"/>
      <rgbColor rgb="FFCC99FF"/>
      <rgbColor rgb="FFF6C28B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5" min="5" style="0" width="26"/>
    <col collapsed="false" customWidth="true" hidden="false" outlineLevel="0" max="6" min="6" style="0" width="20"/>
    <col collapsed="false" customWidth="true" hidden="false" outlineLevel="0" max="8" min="7" style="0" width="16"/>
    <col collapsed="false" customWidth="true" hidden="false" outlineLevel="0" max="9" min="9" style="0" width="28"/>
    <col collapsed="false" customWidth="true" hidden="false" outlineLevel="0" max="10" min="10" style="0" width="12"/>
    <col collapsed="false" customWidth="true" hidden="false" outlineLevel="0" max="11" min="11" style="0" width="44"/>
  </cols>
  <sheetData>
    <row r="1" customFormat="false" ht="16.15" hidden="false" customHeight="false" outlineLevel="0" collapsed="false">
      <c r="A1" s="1" t="s">
        <v>13</v>
      </c>
    </row>
    <row r="3" customFormat="false" ht="23.85" hidden="false" customHeight="false" outlineLevel="0" collapsed="false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  <c r="I3" s="3" t="s">
        <v>22</v>
      </c>
      <c r="J3" s="3" t="s">
        <v>23</v>
      </c>
      <c r="K3" s="3" t="s">
        <v>24</v>
      </c>
    </row>
    <row r="4" customFormat="false" ht="35.05" hidden="false" customHeight="false" outlineLevel="0" collapsed="false">
      <c r="A4" s="4" t="s">
        <v>25</v>
      </c>
      <c r="B4" s="4" t="s">
        <v>26</v>
      </c>
      <c r="C4" s="5" t="n">
        <f aca="false">SUMIF(Exportacoes_agro!$C:$C,"Soja",Exportacoes_agro!$F:$F)</f>
        <v>52.887</v>
      </c>
      <c r="D4" s="4" t="s">
        <v>27</v>
      </c>
      <c r="E4" s="4" t="s">
        <v>28</v>
      </c>
      <c r="F4" s="4" t="s">
        <v>29</v>
      </c>
      <c r="G4" s="4" t="s">
        <v>30</v>
      </c>
      <c r="H4" s="4" t="s">
        <v>31</v>
      </c>
      <c r="I4" s="4" t="s">
        <v>32</v>
      </c>
      <c r="J4" s="6" t="s">
        <v>33</v>
      </c>
      <c r="K4" s="4" t="s">
        <v>34</v>
      </c>
    </row>
    <row r="5" customFormat="false" ht="23.85" hidden="false" customHeight="false" outlineLevel="0" collapsed="false">
      <c r="A5" s="4" t="s">
        <v>35</v>
      </c>
      <c r="B5" s="4" t="s">
        <v>36</v>
      </c>
      <c r="C5" s="5" t="n">
        <f aca="false">SUMIF(Exportacoes_agro!$C:$C,"Milho",Exportacoes_agro!$F:$F)</f>
        <v>8.574</v>
      </c>
      <c r="D5" s="4" t="s">
        <v>37</v>
      </c>
      <c r="E5" s="4" t="s">
        <v>38</v>
      </c>
      <c r="F5" s="4" t="s">
        <v>39</v>
      </c>
      <c r="G5" s="4" t="s">
        <v>40</v>
      </c>
      <c r="H5" s="4" t="s">
        <v>41</v>
      </c>
      <c r="I5" s="4" t="s">
        <v>42</v>
      </c>
      <c r="J5" s="6" t="s">
        <v>33</v>
      </c>
      <c r="K5" s="4" t="s">
        <v>43</v>
      </c>
    </row>
    <row r="6" customFormat="false" ht="35.05" hidden="false" customHeight="false" outlineLevel="0" collapsed="false">
      <c r="A6" s="4" t="s">
        <v>44</v>
      </c>
      <c r="B6" s="4" t="s">
        <v>45</v>
      </c>
      <c r="C6" s="5" t="n">
        <f aca="false">SUMIF(Exportacoes_agro!$C:$C,"Cana-de-açúcar",Exportacoes_agro!$F:$F)</f>
        <v>15.023</v>
      </c>
      <c r="D6" s="4" t="s">
        <v>46</v>
      </c>
      <c r="E6" s="4" t="s">
        <v>47</v>
      </c>
      <c r="F6" s="4" t="s">
        <v>48</v>
      </c>
      <c r="G6" s="4" t="s">
        <v>49</v>
      </c>
      <c r="H6" s="4" t="s">
        <v>50</v>
      </c>
      <c r="I6" s="4" t="s">
        <v>51</v>
      </c>
      <c r="J6" s="6" t="s">
        <v>33</v>
      </c>
      <c r="K6" s="4" t="s">
        <v>52</v>
      </c>
    </row>
    <row r="7" customFormat="false" ht="23.85" hidden="false" customHeight="false" outlineLevel="0" collapsed="false">
      <c r="A7" s="4" t="s">
        <v>53</v>
      </c>
      <c r="B7" s="4" t="s">
        <v>54</v>
      </c>
      <c r="C7" s="5" t="n">
        <f aca="false">SUMIF(Exportacoes_agro!$C:$C,"Café",Exportacoes_agro!$F:$F)</f>
        <v>14.921</v>
      </c>
      <c r="D7" s="4" t="s">
        <v>55</v>
      </c>
      <c r="E7" s="4" t="s">
        <v>56</v>
      </c>
      <c r="F7" s="4" t="s">
        <v>57</v>
      </c>
      <c r="G7" s="4" t="s">
        <v>58</v>
      </c>
      <c r="H7" s="4" t="s">
        <v>59</v>
      </c>
      <c r="I7" s="4" t="s">
        <v>60</v>
      </c>
      <c r="J7" s="6" t="s">
        <v>61</v>
      </c>
      <c r="K7" s="4" t="s">
        <v>62</v>
      </c>
    </row>
    <row r="8" customFormat="false" ht="15" hidden="false" customHeight="false" outlineLevel="0" collapsed="false">
      <c r="A8" s="4" t="s">
        <v>63</v>
      </c>
      <c r="B8" s="4" t="s">
        <v>64</v>
      </c>
      <c r="C8" s="5" t="n">
        <f aca="false">SUMIF(Exportacoes_agro!$C:$C,"Algodão",Exportacoes_agro!$F:$F)</f>
        <v>4.929</v>
      </c>
      <c r="D8" s="4" t="s">
        <v>55</v>
      </c>
      <c r="E8" s="4" t="s">
        <v>65</v>
      </c>
      <c r="F8" s="4" t="s">
        <v>66</v>
      </c>
      <c r="G8" s="4" t="s">
        <v>67</v>
      </c>
      <c r="H8" s="4" t="s">
        <v>68</v>
      </c>
      <c r="I8" s="4" t="s">
        <v>69</v>
      </c>
      <c r="J8" s="6" t="s">
        <v>61</v>
      </c>
      <c r="K8" s="4" t="s">
        <v>70</v>
      </c>
    </row>
    <row r="9" customFormat="false" ht="23.85" hidden="false" customHeight="false" outlineLevel="0" collapsed="false">
      <c r="A9" s="4" t="s">
        <v>71</v>
      </c>
      <c r="B9" s="4" t="s">
        <v>72</v>
      </c>
      <c r="C9" s="5" t="s">
        <v>72</v>
      </c>
      <c r="D9" s="4" t="s">
        <v>73</v>
      </c>
      <c r="E9" s="4" t="s">
        <v>74</v>
      </c>
      <c r="F9" s="4" t="s">
        <v>75</v>
      </c>
      <c r="G9" s="4" t="s">
        <v>76</v>
      </c>
      <c r="H9" s="4" t="s">
        <v>77</v>
      </c>
      <c r="I9" s="4" t="s">
        <v>78</v>
      </c>
      <c r="J9" s="6" t="s">
        <v>79</v>
      </c>
      <c r="K9" s="4" t="s">
        <v>80</v>
      </c>
    </row>
    <row r="10" customFormat="false" ht="23.85" hidden="false" customHeight="false" outlineLevel="0" collapsed="false">
      <c r="A10" s="4" t="s">
        <v>81</v>
      </c>
      <c r="B10" s="4" t="s">
        <v>82</v>
      </c>
      <c r="C10" s="5" t="n">
        <f aca="false">SUMIF(Exportacoes_agro!$C:$C,"Pecuária",Exportacoes_agro!$F:$F)</f>
        <v>26.633</v>
      </c>
      <c r="D10" s="4" t="s">
        <v>83</v>
      </c>
      <c r="E10" s="4" t="s">
        <v>72</v>
      </c>
      <c r="F10" s="4" t="s">
        <v>84</v>
      </c>
      <c r="G10" s="4" t="s">
        <v>72</v>
      </c>
      <c r="H10" s="4" t="s">
        <v>72</v>
      </c>
      <c r="I10" s="4" t="s">
        <v>72</v>
      </c>
      <c r="J10" s="6" t="s">
        <v>79</v>
      </c>
      <c r="K10" s="4" t="s">
        <v>85</v>
      </c>
    </row>
    <row r="11" customFormat="false" ht="15" hidden="false" customHeight="false" outlineLevel="0" collapsed="false">
      <c r="A11" s="4" t="s">
        <v>86</v>
      </c>
      <c r="B11" s="4" t="s">
        <v>87</v>
      </c>
      <c r="C11" s="5" t="n">
        <f aca="false">SUMIF(Exportacoes_agro!$C:$C,"Eucalipto/silvicultura",Exportacoes_agro!$F:$F)+SUMIF(Exportacoes_agro!$C:$C,"Laranja",Exportacoes_agro!$F:$F)+SUMIF(Exportacoes_agro!$C:$C,"Fumo",Exportacoes_agro!$F:$F)</f>
        <v>15.817</v>
      </c>
      <c r="D11" s="4" t="s">
        <v>88</v>
      </c>
      <c r="E11" s="4" t="s">
        <v>72</v>
      </c>
      <c r="F11" s="4" t="s">
        <v>84</v>
      </c>
      <c r="G11" s="4" t="s">
        <v>72</v>
      </c>
      <c r="H11" s="4" t="s">
        <v>72</v>
      </c>
      <c r="I11" s="4" t="s">
        <v>72</v>
      </c>
      <c r="J11" s="6" t="s">
        <v>79</v>
      </c>
      <c r="K11" s="4" t="s">
        <v>89</v>
      </c>
    </row>
    <row r="13" customFormat="false" ht="15" hidden="false" customHeight="false" outlineLevel="0" collapsed="false">
      <c r="A13" s="7" t="s">
        <v>90</v>
      </c>
    </row>
    <row r="14" customFormat="false" ht="15" hidden="false" customHeight="false" outlineLevel="0" collapsed="false">
      <c r="A14" s="7" t="s">
        <v>91</v>
      </c>
    </row>
    <row r="15" customFormat="false" ht="15" hidden="false" customHeight="false" outlineLevel="0" collapsed="false">
      <c r="A15" s="7" t="s">
        <v>92</v>
      </c>
    </row>
  </sheetData>
  <conditionalFormatting sqref="J4:J11">
    <cfRule type="cellIs" priority="2" operator="equal" aboveAverage="0" equalAverage="0" bottom="0" percent="0" rank="0" text="" dxfId="0">
      <formula>"Alta"</formula>
    </cfRule>
    <cfRule type="cellIs" priority="3" operator="equal" aboveAverage="0" equalAverage="0" bottom="0" percent="0" rank="0" text="" dxfId="1">
      <formula>"Média"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6" min="4" style="0" width="11"/>
    <col collapsed="false" customWidth="true" hidden="false" outlineLevel="0" max="7" min="7" style="0" width="14"/>
  </cols>
  <sheetData>
    <row r="1" customFormat="false" ht="16.15" hidden="false" customHeight="false" outlineLevel="0" collapsed="false">
      <c r="A1" s="1" t="s">
        <v>93</v>
      </c>
    </row>
    <row r="3" customFormat="false" ht="23.85" hidden="false" customHeight="false" outlineLevel="0" collapsed="false">
      <c r="A3" s="3" t="s">
        <v>94</v>
      </c>
      <c r="B3" s="3" t="s">
        <v>95</v>
      </c>
      <c r="C3" s="3" t="s">
        <v>96</v>
      </c>
      <c r="D3" s="3" t="s">
        <v>97</v>
      </c>
      <c r="E3" s="3" t="s">
        <v>98</v>
      </c>
      <c r="F3" s="3" t="s">
        <v>99</v>
      </c>
      <c r="G3" s="3" t="s">
        <v>100</v>
      </c>
    </row>
    <row r="4" customFormat="false" ht="15" hidden="false" customHeight="false" outlineLevel="0" collapsed="false">
      <c r="A4" s="4" t="s">
        <v>101</v>
      </c>
      <c r="B4" s="4" t="s">
        <v>102</v>
      </c>
      <c r="C4" s="4" t="s">
        <v>25</v>
      </c>
      <c r="D4" s="8" t="n">
        <v>53.245</v>
      </c>
      <c r="E4" s="8" t="n">
        <v>42.95</v>
      </c>
      <c r="F4" s="8" t="n">
        <v>43.536</v>
      </c>
      <c r="G4" s="9" t="n">
        <f aca="false">F4/$F$18</f>
        <v>0.31369610329721</v>
      </c>
    </row>
    <row r="5" customFormat="false" ht="15" hidden="false" customHeight="false" outlineLevel="0" collapsed="false">
      <c r="A5" s="4" t="s">
        <v>54</v>
      </c>
      <c r="B5" s="4" t="s">
        <v>53</v>
      </c>
      <c r="C5" s="4" t="s">
        <v>53</v>
      </c>
      <c r="D5" s="8" t="n">
        <v>7.351</v>
      </c>
      <c r="E5" s="8" t="n">
        <v>11.374</v>
      </c>
      <c r="F5" s="8" t="n">
        <v>14.921</v>
      </c>
      <c r="G5" s="9" t="n">
        <f aca="false">F5/$F$18</f>
        <v>0.107512393359465</v>
      </c>
    </row>
    <row r="6" customFormat="false" ht="15" hidden="false" customHeight="false" outlineLevel="0" collapsed="false">
      <c r="A6" s="4" t="s">
        <v>103</v>
      </c>
      <c r="B6" s="4" t="s">
        <v>104</v>
      </c>
      <c r="C6" s="4" t="s">
        <v>105</v>
      </c>
      <c r="D6" s="8" t="n">
        <v>8.533</v>
      </c>
      <c r="E6" s="8" t="n">
        <v>10.089</v>
      </c>
      <c r="F6" s="8" t="n">
        <v>14.446</v>
      </c>
      <c r="G6" s="9" t="n">
        <f aca="false">F6/$F$18</f>
        <v>0.104089808623472</v>
      </c>
    </row>
    <row r="7" customFormat="false" ht="15" hidden="false" customHeight="false" outlineLevel="0" collapsed="false">
      <c r="A7" s="4" t="s">
        <v>106</v>
      </c>
      <c r="B7" s="4" t="s">
        <v>107</v>
      </c>
      <c r="C7" s="4" t="s">
        <v>44</v>
      </c>
      <c r="D7" s="8" t="n">
        <v>15.751</v>
      </c>
      <c r="E7" s="8" t="n">
        <v>18.602</v>
      </c>
      <c r="F7" s="8" t="n">
        <v>14.111</v>
      </c>
      <c r="G7" s="9" t="n">
        <f aca="false">F7/$F$18</f>
        <v>0.101675985704404</v>
      </c>
    </row>
    <row r="8" customFormat="false" ht="15" hidden="false" customHeight="false" outlineLevel="0" collapsed="false">
      <c r="A8" s="4" t="s">
        <v>108</v>
      </c>
      <c r="B8" s="4" t="s">
        <v>109</v>
      </c>
      <c r="C8" s="4" t="s">
        <v>110</v>
      </c>
      <c r="D8" s="8" t="n">
        <v>7.173</v>
      </c>
      <c r="E8" s="8" t="n">
        <v>9.736</v>
      </c>
      <c r="F8" s="8" t="n">
        <v>9.17</v>
      </c>
      <c r="G8" s="9" t="n">
        <f aca="false">F8/$F$18</f>
        <v>0.0660738990085313</v>
      </c>
    </row>
    <row r="9" customFormat="false" ht="15" hidden="false" customHeight="false" outlineLevel="0" collapsed="false">
      <c r="A9" s="4" t="s">
        <v>111</v>
      </c>
      <c r="B9" s="4" t="s">
        <v>112</v>
      </c>
      <c r="C9" s="4" t="s">
        <v>105</v>
      </c>
      <c r="D9" s="8" t="n">
        <v>8.971</v>
      </c>
      <c r="E9" s="8" t="n">
        <v>9.08</v>
      </c>
      <c r="F9" s="8" t="n">
        <v>8.816</v>
      </c>
      <c r="G9" s="9" t="n">
        <f aca="false">F9/$F$18</f>
        <v>0.0635231727000231</v>
      </c>
    </row>
    <row r="10" customFormat="false" ht="15" hidden="false" customHeight="false" outlineLevel="0" collapsed="false">
      <c r="A10" s="4" t="s">
        <v>36</v>
      </c>
      <c r="B10" s="4" t="s">
        <v>113</v>
      </c>
      <c r="C10" s="4" t="s">
        <v>113</v>
      </c>
      <c r="D10" s="8" t="n">
        <v>13.613</v>
      </c>
      <c r="E10" s="8" t="n">
        <v>8.177</v>
      </c>
      <c r="F10" s="8" t="n">
        <v>8.574</v>
      </c>
      <c r="G10" s="9" t="n">
        <f aca="false">F10/$F$18</f>
        <v>0.0617794558450542</v>
      </c>
    </row>
    <row r="11" customFormat="false" ht="15" hidden="false" customHeight="false" outlineLevel="0" collapsed="false">
      <c r="A11" s="4" t="s">
        <v>114</v>
      </c>
      <c r="B11" s="4" t="s">
        <v>115</v>
      </c>
      <c r="C11" s="4" t="s">
        <v>25</v>
      </c>
      <c r="D11" s="8" t="n">
        <v>11.499</v>
      </c>
      <c r="E11" s="8" t="n">
        <v>9.689</v>
      </c>
      <c r="F11" s="8" t="n">
        <v>7.903</v>
      </c>
      <c r="G11" s="9" t="n">
        <f aca="false">F11/$F$18</f>
        <v>0.0569446045653678</v>
      </c>
    </row>
    <row r="12" customFormat="false" ht="15" hidden="false" customHeight="false" outlineLevel="0" collapsed="false">
      <c r="A12" s="4" t="s">
        <v>64</v>
      </c>
      <c r="B12" s="4" t="s">
        <v>63</v>
      </c>
      <c r="C12" s="4" t="s">
        <v>63</v>
      </c>
      <c r="D12" s="8" t="n">
        <v>3.074</v>
      </c>
      <c r="E12" s="8" t="n">
        <v>5.155</v>
      </c>
      <c r="F12" s="8" t="n">
        <v>4.929</v>
      </c>
      <c r="G12" s="9" t="n">
        <f aca="false">F12/$F$18</f>
        <v>0.0355156213972792</v>
      </c>
    </row>
    <row r="13" customFormat="false" ht="15" hidden="false" customHeight="false" outlineLevel="0" collapsed="false">
      <c r="A13" s="4" t="s">
        <v>116</v>
      </c>
      <c r="B13" s="4" t="s">
        <v>117</v>
      </c>
      <c r="C13" s="4" t="s">
        <v>118</v>
      </c>
      <c r="D13" s="8" t="n">
        <v>2.679</v>
      </c>
      <c r="E13" s="8" t="n">
        <v>3.506</v>
      </c>
      <c r="F13" s="8" t="n">
        <v>3.502</v>
      </c>
      <c r="G13" s="9" t="n">
        <f aca="false">F13/$F$18</f>
        <v>0.0252334563062024</v>
      </c>
    </row>
    <row r="14" customFormat="false" ht="15" hidden="false" customHeight="false" outlineLevel="0" collapsed="false">
      <c r="A14" s="4" t="s">
        <v>119</v>
      </c>
      <c r="B14" s="4" t="s">
        <v>120</v>
      </c>
      <c r="C14" s="4" t="s">
        <v>105</v>
      </c>
      <c r="D14" s="8" t="n">
        <v>2.631</v>
      </c>
      <c r="E14" s="8" t="n">
        <v>2.83</v>
      </c>
      <c r="F14" s="8" t="n">
        <v>3.371</v>
      </c>
      <c r="G14" s="9" t="n">
        <f aca="false">F14/$F$18</f>
        <v>0.0242895434632234</v>
      </c>
    </row>
    <row r="15" customFormat="false" ht="15" hidden="false" customHeight="false" outlineLevel="0" collapsed="false">
      <c r="A15" s="4" t="s">
        <v>121</v>
      </c>
      <c r="B15" s="4" t="s">
        <v>122</v>
      </c>
      <c r="C15" s="4" t="s">
        <v>122</v>
      </c>
      <c r="D15" s="8" t="n">
        <v>2.544</v>
      </c>
      <c r="E15" s="8" t="n">
        <v>2.773</v>
      </c>
      <c r="F15" s="8" t="n">
        <v>3.145</v>
      </c>
      <c r="G15" s="9" t="n">
        <f aca="false">F15/$F$18</f>
        <v>0.0226611136730459</v>
      </c>
    </row>
    <row r="16" customFormat="false" ht="15" hidden="false" customHeight="false" outlineLevel="0" collapsed="false">
      <c r="A16" s="4" t="s">
        <v>123</v>
      </c>
      <c r="B16" s="4" t="s">
        <v>124</v>
      </c>
      <c r="C16" s="4" t="s">
        <v>25</v>
      </c>
      <c r="D16" s="8" t="n">
        <v>2.513</v>
      </c>
      <c r="E16" s="8" t="n">
        <v>1.312</v>
      </c>
      <c r="F16" s="8" t="n">
        <v>1.448</v>
      </c>
      <c r="G16" s="9" t="n">
        <f aca="false">F16/$F$18</f>
        <v>0.0104334793636154</v>
      </c>
    </row>
    <row r="17" customFormat="false" ht="15" hidden="false" customHeight="false" outlineLevel="0" collapsed="false">
      <c r="A17" s="4" t="s">
        <v>125</v>
      </c>
      <c r="B17" s="4" t="s">
        <v>126</v>
      </c>
      <c r="C17" s="4" t="s">
        <v>44</v>
      </c>
      <c r="D17" s="8" t="n">
        <v>1.608</v>
      </c>
      <c r="E17" s="8" t="n">
        <v>1.051</v>
      </c>
      <c r="F17" s="8" t="n">
        <v>0.912</v>
      </c>
      <c r="G17" s="9" t="n">
        <f aca="false">F17/$F$18</f>
        <v>0.00657136269310583</v>
      </c>
    </row>
    <row r="18" customFormat="false" ht="15" hidden="false" customHeight="false" outlineLevel="0" collapsed="false">
      <c r="A18" s="10"/>
      <c r="B18" s="11" t="s">
        <v>127</v>
      </c>
      <c r="C18" s="10"/>
      <c r="D18" s="12" t="n">
        <f aca="false">SUM(D4:D17)</f>
        <v>141.185</v>
      </c>
      <c r="E18" s="12" t="n">
        <f aca="false">SUM(E4:E17)</f>
        <v>136.324</v>
      </c>
      <c r="F18" s="12" t="n">
        <f aca="false">SUM(F4:F17)</f>
        <v>138.784</v>
      </c>
      <c r="G18" s="11"/>
    </row>
    <row r="20" customFormat="false" ht="15" hidden="false" customHeight="false" outlineLevel="0" collapsed="false">
      <c r="A20" s="7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0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6" min="5" style="0" width="14"/>
    <col collapsed="false" customWidth="true" hidden="false" outlineLevel="0" max="8" min="7" style="0" width="10"/>
    <col collapsed="false" customWidth="true" hidden="false" outlineLevel="0" max="9" min="9" style="0" width="40"/>
    <col collapsed="false" customWidth="true" hidden="false" outlineLevel="0" max="10" min="10" style="0" width="36"/>
  </cols>
  <sheetData>
    <row r="1" customFormat="false" ht="16.15" hidden="false" customHeight="false" outlineLevel="0" collapsed="false">
      <c r="A1" s="1" t="s">
        <v>129</v>
      </c>
    </row>
    <row r="3" customFormat="false" ht="23.85" hidden="false" customHeight="false" outlineLevel="0" collapsed="false">
      <c r="A3" s="3" t="s">
        <v>130</v>
      </c>
      <c r="B3" s="3" t="s">
        <v>131</v>
      </c>
      <c r="C3" s="3" t="s">
        <v>132</v>
      </c>
      <c r="D3" s="3" t="s">
        <v>133</v>
      </c>
      <c r="E3" s="3" t="s">
        <v>134</v>
      </c>
      <c r="F3" s="3" t="s">
        <v>135</v>
      </c>
      <c r="G3" s="3" t="s">
        <v>136</v>
      </c>
      <c r="H3" s="3" t="s">
        <v>137</v>
      </c>
      <c r="I3" s="3" t="s">
        <v>138</v>
      </c>
      <c r="J3" s="3" t="s">
        <v>139</v>
      </c>
    </row>
    <row r="4" customFormat="false" ht="15" hidden="false" customHeight="false" outlineLevel="0" collapsed="false">
      <c r="A4" s="4" t="s">
        <v>140</v>
      </c>
      <c r="B4" s="4" t="s">
        <v>141</v>
      </c>
      <c r="C4" s="4" t="s">
        <v>73</v>
      </c>
      <c r="D4" s="13" t="n">
        <v>7.725</v>
      </c>
      <c r="E4" s="14" t="n">
        <v>3054.7</v>
      </c>
      <c r="F4" s="15" t="n">
        <f aca="false">E4/D4</f>
        <v>395.430420711974</v>
      </c>
      <c r="G4" s="16" t="n">
        <v>1997</v>
      </c>
      <c r="H4" s="16" t="n">
        <v>356</v>
      </c>
      <c r="I4" s="4" t="s">
        <v>142</v>
      </c>
      <c r="J4" s="4" t="s">
        <v>143</v>
      </c>
    </row>
    <row r="5" customFormat="false" ht="15" hidden="false" customHeight="false" outlineLevel="0" collapsed="false">
      <c r="A5" s="4" t="s">
        <v>144</v>
      </c>
      <c r="B5" s="4" t="s">
        <v>145</v>
      </c>
      <c r="C5" s="4" t="s">
        <v>146</v>
      </c>
      <c r="D5" s="13" t="n">
        <v>7.779</v>
      </c>
      <c r="E5" s="14" t="n">
        <v>1281.3</v>
      </c>
      <c r="F5" s="15" t="n">
        <f aca="false">E5/D5</f>
        <v>164.71268800617</v>
      </c>
      <c r="G5" s="16" t="n">
        <v>1997</v>
      </c>
      <c r="H5" s="16" t="n">
        <v>356</v>
      </c>
      <c r="I5" s="4" t="s">
        <v>147</v>
      </c>
      <c r="J5" s="4" t="s">
        <v>148</v>
      </c>
    </row>
    <row r="6" customFormat="false" ht="23.85" hidden="false" customHeight="false" outlineLevel="0" collapsed="false">
      <c r="A6" s="4" t="s">
        <v>149</v>
      </c>
      <c r="B6" s="4" t="s">
        <v>150</v>
      </c>
      <c r="C6" s="4" t="s">
        <v>151</v>
      </c>
      <c r="D6" s="13" t="n">
        <v>13.455</v>
      </c>
      <c r="E6" s="14" t="n">
        <v>4095.6</v>
      </c>
      <c r="F6" s="15" t="n">
        <f aca="false">E6/D6</f>
        <v>304.392419175028</v>
      </c>
      <c r="G6" s="16" t="n">
        <v>1997</v>
      </c>
      <c r="H6" s="16" t="n">
        <v>356</v>
      </c>
      <c r="I6" s="4" t="s">
        <v>152</v>
      </c>
      <c r="J6" s="4" t="s">
        <v>153</v>
      </c>
    </row>
    <row r="7" customFormat="false" ht="15" hidden="false" customHeight="false" outlineLevel="0" collapsed="false">
      <c r="A7" s="4" t="s">
        <v>154</v>
      </c>
      <c r="B7" s="4" t="s">
        <v>155</v>
      </c>
      <c r="C7" s="4" t="s">
        <v>151</v>
      </c>
      <c r="D7" s="13" t="n">
        <v>0.228</v>
      </c>
      <c r="E7" s="14" t="n">
        <v>68.8</v>
      </c>
      <c r="F7" s="15" t="n">
        <f aca="false">E7/D7</f>
        <v>301.754385964912</v>
      </c>
      <c r="G7" s="16" t="n">
        <v>1997</v>
      </c>
      <c r="H7" s="16" t="n">
        <v>300</v>
      </c>
      <c r="I7" s="4" t="s">
        <v>156</v>
      </c>
      <c r="J7" s="4" t="s">
        <v>157</v>
      </c>
    </row>
    <row r="8" customFormat="false" ht="15" hidden="false" customHeight="false" outlineLevel="0" collapsed="false">
      <c r="A8" s="4" t="s">
        <v>158</v>
      </c>
      <c r="B8" s="4" t="s">
        <v>159</v>
      </c>
      <c r="C8" s="4" t="s">
        <v>160</v>
      </c>
      <c r="D8" s="13" t="n">
        <v>3.139</v>
      </c>
      <c r="E8" s="14" t="n">
        <v>2077</v>
      </c>
      <c r="F8" s="15" t="n">
        <f aca="false">E8/D8</f>
        <v>661.675692895827</v>
      </c>
      <c r="G8" s="16" t="n">
        <v>1997</v>
      </c>
      <c r="H8" s="16" t="n">
        <v>354</v>
      </c>
      <c r="I8" s="4" t="s">
        <v>161</v>
      </c>
      <c r="J8" s="4" t="s">
        <v>162</v>
      </c>
    </row>
    <row r="9" customFormat="false" ht="23.85" hidden="false" customHeight="false" outlineLevel="0" collapsed="false">
      <c r="A9" s="4" t="s">
        <v>163</v>
      </c>
      <c r="B9" s="4" t="s">
        <v>164</v>
      </c>
      <c r="C9" s="4" t="s">
        <v>160</v>
      </c>
      <c r="D9" s="13" t="n">
        <v>0.148</v>
      </c>
      <c r="E9" s="14" t="n">
        <v>95.9</v>
      </c>
      <c r="F9" s="15" t="n">
        <f aca="false">E9/D9</f>
        <v>647.972972972973</v>
      </c>
      <c r="G9" s="16" t="n">
        <v>2019</v>
      </c>
      <c r="H9" s="16" t="n">
        <v>92</v>
      </c>
      <c r="I9" s="4" t="s">
        <v>165</v>
      </c>
      <c r="J9" s="4" t="s">
        <v>166</v>
      </c>
    </row>
    <row r="11" customFormat="false" ht="15" hidden="false" customHeight="false" outlineLevel="0" collapsed="false">
      <c r="A11" s="7" t="s">
        <v>167</v>
      </c>
    </row>
    <row r="12" customFormat="false" ht="15" hidden="false" customHeight="false" outlineLevel="0" collapsed="false">
      <c r="A12" s="7" t="s">
        <v>168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14" min="5" style="0" width="8"/>
    <col collapsed="false" customWidth="true" hidden="false" outlineLevel="0" max="15" min="15" style="0" width="10"/>
  </cols>
  <sheetData>
    <row r="1" customFormat="false" ht="16.15" hidden="false" customHeight="false" outlineLevel="0" collapsed="false">
      <c r="A1" s="1" t="s">
        <v>169</v>
      </c>
    </row>
    <row r="3" customFormat="false" ht="15" hidden="false" customHeight="false" outlineLevel="0" collapsed="false">
      <c r="A3" s="3" t="s">
        <v>170</v>
      </c>
      <c r="B3" s="3" t="s">
        <v>171</v>
      </c>
      <c r="C3" s="3" t="s">
        <v>172</v>
      </c>
      <c r="D3" s="3" t="s">
        <v>173</v>
      </c>
      <c r="E3" s="3" t="s">
        <v>174</v>
      </c>
      <c r="F3" s="3" t="s">
        <v>175</v>
      </c>
      <c r="G3" s="3" t="s">
        <v>176</v>
      </c>
      <c r="H3" s="3" t="s">
        <v>177</v>
      </c>
      <c r="I3" s="3" t="s">
        <v>178</v>
      </c>
      <c r="J3" s="3" t="s">
        <v>179</v>
      </c>
      <c r="K3" s="3" t="s">
        <v>180</v>
      </c>
      <c r="L3" s="3" t="s">
        <v>181</v>
      </c>
      <c r="M3" s="3" t="s">
        <v>182</v>
      </c>
      <c r="N3" s="3" t="s">
        <v>183</v>
      </c>
      <c r="O3" s="3" t="s">
        <v>184</v>
      </c>
    </row>
    <row r="4" customFormat="false" ht="15" hidden="false" customHeight="false" outlineLevel="0" collapsed="false">
      <c r="A4" s="4" t="s">
        <v>185</v>
      </c>
      <c r="B4" s="4" t="s">
        <v>186</v>
      </c>
      <c r="C4" s="8" t="n">
        <v>10.789</v>
      </c>
      <c r="D4" s="8" t="n">
        <v>9.988</v>
      </c>
      <c r="E4" s="8" t="n">
        <v>8.671</v>
      </c>
      <c r="F4" s="8" t="n">
        <v>7.419</v>
      </c>
      <c r="G4" s="8" t="n">
        <v>7.49</v>
      </c>
      <c r="H4" s="8" t="n">
        <v>8.376</v>
      </c>
      <c r="I4" s="8" t="n">
        <v>9.387</v>
      </c>
      <c r="J4" s="8" t="n">
        <v>10.919</v>
      </c>
      <c r="K4" s="8" t="n">
        <v>13.271</v>
      </c>
      <c r="L4" s="8" t="n">
        <v>15.168</v>
      </c>
      <c r="M4" s="8" t="n">
        <v>14.824</v>
      </c>
      <c r="N4" s="8" t="n">
        <v>15.345</v>
      </c>
      <c r="O4" s="17" t="n">
        <f aca="false">SUM(C4:N4)</f>
        <v>131.647</v>
      </c>
    </row>
    <row r="5" customFormat="false" ht="15" hidden="false" customHeight="false" outlineLevel="0" collapsed="false">
      <c r="A5" s="4" t="s">
        <v>187</v>
      </c>
      <c r="B5" s="4" t="s">
        <v>188</v>
      </c>
      <c r="C5" s="8" t="n">
        <v>7.005</v>
      </c>
      <c r="D5" s="8" t="n">
        <v>7.509</v>
      </c>
      <c r="E5" s="8" t="n">
        <v>8.847</v>
      </c>
      <c r="F5" s="8" t="n">
        <v>8.973</v>
      </c>
      <c r="G5" s="8" t="n">
        <v>11.771</v>
      </c>
      <c r="H5" s="8" t="n">
        <v>12.984</v>
      </c>
      <c r="I5" s="8" t="n">
        <v>13.814</v>
      </c>
      <c r="J5" s="8" t="n">
        <v>13.998</v>
      </c>
      <c r="K5" s="8" t="n">
        <v>11.802</v>
      </c>
      <c r="L5" s="8" t="n">
        <v>10.273</v>
      </c>
      <c r="M5" s="8" t="n">
        <v>10.062</v>
      </c>
      <c r="N5" s="8" t="n">
        <v>9.631</v>
      </c>
      <c r="O5" s="17" t="n">
        <f aca="false">SUM(C5:N5)</f>
        <v>126.669</v>
      </c>
    </row>
    <row r="6" customFormat="false" ht="23.85" hidden="false" customHeight="false" outlineLevel="0" collapsed="false">
      <c r="A6" s="4" t="s">
        <v>189</v>
      </c>
      <c r="B6" s="4" t="s">
        <v>190</v>
      </c>
      <c r="C6" s="8" t="n">
        <v>5.066</v>
      </c>
      <c r="D6" s="8" t="n">
        <v>5.075</v>
      </c>
      <c r="E6" s="8" t="n">
        <v>5.601</v>
      </c>
      <c r="F6" s="8" t="n">
        <v>5.769</v>
      </c>
      <c r="G6" s="8" t="n">
        <v>7.14</v>
      </c>
      <c r="H6" s="8" t="n">
        <v>8.421</v>
      </c>
      <c r="I6" s="8" t="n">
        <v>9.62</v>
      </c>
      <c r="J6" s="8" t="n">
        <v>9.774</v>
      </c>
      <c r="K6" s="8" t="n">
        <v>9.554</v>
      </c>
      <c r="L6" s="8" t="n">
        <v>8.054</v>
      </c>
      <c r="M6" s="8" t="n">
        <v>7.652</v>
      </c>
      <c r="N6" s="8" t="n">
        <v>6.194</v>
      </c>
      <c r="O6" s="17" t="n">
        <f aca="false">SUM(C6:N6)</f>
        <v>87.92</v>
      </c>
    </row>
    <row r="7" customFormat="false" ht="15" hidden="false" customHeight="false" outlineLevel="0" collapsed="false">
      <c r="A7" s="18" t="s">
        <v>191</v>
      </c>
    </row>
    <row r="8" customFormat="false" ht="15" hidden="false" customHeight="false" outlineLevel="0" collapsed="false">
      <c r="A8" s="3" t="s">
        <v>170</v>
      </c>
      <c r="B8" s="3" t="s">
        <v>171</v>
      </c>
      <c r="C8" s="3" t="s">
        <v>172</v>
      </c>
      <c r="D8" s="3" t="s">
        <v>173</v>
      </c>
      <c r="E8" s="3" t="s">
        <v>174</v>
      </c>
      <c r="F8" s="3" t="s">
        <v>175</v>
      </c>
      <c r="G8" s="3" t="s">
        <v>176</v>
      </c>
      <c r="H8" s="3" t="s">
        <v>177</v>
      </c>
      <c r="I8" s="3" t="s">
        <v>178</v>
      </c>
      <c r="J8" s="3" t="s">
        <v>179</v>
      </c>
      <c r="K8" s="3" t="s">
        <v>180</v>
      </c>
      <c r="L8" s="3" t="s">
        <v>181</v>
      </c>
      <c r="M8" s="3" t="s">
        <v>182</v>
      </c>
      <c r="N8" s="3" t="s">
        <v>183</v>
      </c>
      <c r="O8" s="3" t="s">
        <v>184</v>
      </c>
    </row>
    <row r="9" customFormat="false" ht="15" hidden="false" customHeight="false" outlineLevel="0" collapsed="false">
      <c r="A9" s="4" t="str">
        <f aca="false">A4</f>
        <v>3102</v>
      </c>
      <c r="B9" s="4" t="str">
        <f aca="false">B4</f>
        <v>Nitrogenados</v>
      </c>
      <c r="C9" s="19" t="n">
        <f aca="false">C4/$O$4</f>
        <v>0.0819540133842777</v>
      </c>
      <c r="D9" s="19" t="n">
        <f aca="false">D4/$O$4</f>
        <v>0.0758695602634318</v>
      </c>
      <c r="E9" s="19" t="n">
        <f aca="false">E4/$O$4</f>
        <v>0.0658655343456364</v>
      </c>
      <c r="F9" s="19" t="n">
        <f aca="false">F4/$O$4</f>
        <v>0.0563552530631158</v>
      </c>
      <c r="G9" s="19" t="n">
        <f aca="false">G4/$O$4</f>
        <v>0.0568945741262619</v>
      </c>
      <c r="H9" s="19" t="n">
        <f aca="false">H4/$O$4</f>
        <v>0.0636246933086208</v>
      </c>
      <c r="I9" s="19" t="n">
        <f aca="false">I4/$O$4</f>
        <v>0.0713043214049694</v>
      </c>
      <c r="J9" s="19" t="n">
        <f aca="false">J4/$O$4</f>
        <v>0.0829415026548269</v>
      </c>
      <c r="K9" s="19" t="n">
        <f aca="false">K4/$O$4</f>
        <v>0.100807462380457</v>
      </c>
      <c r="L9" s="19" t="n">
        <f aca="false">L4/$O$4</f>
        <v>0.115217209659164</v>
      </c>
      <c r="M9" s="19" t="n">
        <f aca="false">M4/$O$4</f>
        <v>0.112604161127865</v>
      </c>
      <c r="N9" s="19" t="n">
        <f aca="false">N4/$O$4</f>
        <v>0.116561714281374</v>
      </c>
      <c r="O9" s="20" t="n">
        <f aca="false">SUM(C9:N9)</f>
        <v>1</v>
      </c>
    </row>
    <row r="10" customFormat="false" ht="15" hidden="false" customHeight="false" outlineLevel="0" collapsed="false">
      <c r="A10" s="4" t="str">
        <f aca="false">A5</f>
        <v>3104</v>
      </c>
      <c r="B10" s="4" t="str">
        <f aca="false">B5</f>
        <v>Potássicos</v>
      </c>
      <c r="C10" s="19" t="n">
        <f aca="false">C5/$O$5</f>
        <v>0.0553016128650262</v>
      </c>
      <c r="D10" s="19" t="n">
        <f aca="false">D5/$O$5</f>
        <v>0.0592804869383985</v>
      </c>
      <c r="E10" s="19" t="n">
        <f aca="false">E5/$O$5</f>
        <v>0.0698434502522322</v>
      </c>
      <c r="F10" s="19" t="n">
        <f aca="false">F5/$O$5</f>
        <v>0.0708381687705753</v>
      </c>
      <c r="G10" s="19" t="n">
        <f aca="false">G5/$O$5</f>
        <v>0.0929272355509241</v>
      </c>
      <c r="H10" s="19" t="n">
        <f aca="false">H5/$O$5</f>
        <v>0.10250337493783</v>
      </c>
      <c r="I10" s="19" t="n">
        <f aca="false">I5/$O$5</f>
        <v>0.10905588581263</v>
      </c>
      <c r="J10" s="19" t="n">
        <f aca="false">J5/$O$5</f>
        <v>0.110508490633067</v>
      </c>
      <c r="K10" s="19" t="n">
        <f aca="false">K5/$O$5</f>
        <v>0.0931719678848021</v>
      </c>
      <c r="L10" s="19" t="n">
        <f aca="false">L5/$O$5</f>
        <v>0.081101137610623</v>
      </c>
      <c r="M10" s="19" t="n">
        <f aca="false">M5/$O$5</f>
        <v>0.0794353788219691</v>
      </c>
      <c r="N10" s="19" t="n">
        <f aca="false">N5/$O$5</f>
        <v>0.0760328099219225</v>
      </c>
      <c r="O10" s="20" t="n">
        <f aca="false">SUM(C10:N10)</f>
        <v>1</v>
      </c>
    </row>
    <row r="11" customFormat="false" ht="23.85" hidden="false" customHeight="false" outlineLevel="0" collapsed="false">
      <c r="A11" s="4" t="str">
        <f aca="false">A6</f>
        <v>3105</v>
      </c>
      <c r="B11" s="4" t="str">
        <f aca="false">B6</f>
        <v>NPK, MAP, DAP (mistos)</v>
      </c>
      <c r="C11" s="19" t="n">
        <f aca="false">C6/$O$6</f>
        <v>0.0576205641492266</v>
      </c>
      <c r="D11" s="19" t="n">
        <f aca="false">D6/$O$6</f>
        <v>0.0577229299363057</v>
      </c>
      <c r="E11" s="19" t="n">
        <f aca="false">E6/$O$6</f>
        <v>0.0637056414922657</v>
      </c>
      <c r="F11" s="19" t="n">
        <f aca="false">F6/$O$6</f>
        <v>0.0656164695177434</v>
      </c>
      <c r="G11" s="19" t="n">
        <f aca="false">G6/$O$6</f>
        <v>0.0812101910828025</v>
      </c>
      <c r="H11" s="19" t="n">
        <f aca="false">H6/$O$6</f>
        <v>0.0957802547770701</v>
      </c>
      <c r="I11" s="19" t="n">
        <f aca="false">I6/$O$6</f>
        <v>0.109417652411283</v>
      </c>
      <c r="J11" s="19" t="n">
        <f aca="false">J6/$O$6</f>
        <v>0.111169244767971</v>
      </c>
      <c r="K11" s="19" t="n">
        <f aca="false">K6/$O$6</f>
        <v>0.108666969972702</v>
      </c>
      <c r="L11" s="19" t="n">
        <f aca="false">L6/$O$6</f>
        <v>0.0916060054595086</v>
      </c>
      <c r="M11" s="19" t="n">
        <f aca="false">M6/$O$6</f>
        <v>0.0870336669699727</v>
      </c>
      <c r="N11" s="19" t="n">
        <f aca="false">N6/$O$6</f>
        <v>0.0704504094631483</v>
      </c>
      <c r="O11" s="20" t="n">
        <f aca="false">SUM(C11:N11)</f>
        <v>1</v>
      </c>
    </row>
    <row r="14" customFormat="false" ht="15" hidden="false" customHeight="false" outlineLevel="0" collapsed="false">
      <c r="A14" s="18" t="s">
        <v>192</v>
      </c>
    </row>
    <row r="15" customFormat="false" ht="23.85" hidden="false" customHeight="false" outlineLevel="0" collapsed="false">
      <c r="A15" s="3" t="s">
        <v>193</v>
      </c>
      <c r="B15" s="3" t="s">
        <v>194</v>
      </c>
      <c r="C15" s="3" t="s">
        <v>195</v>
      </c>
      <c r="D15" s="3" t="s">
        <v>196</v>
      </c>
    </row>
    <row r="16" customFormat="false" ht="46.25" hidden="false" customHeight="false" outlineLevel="0" collapsed="false">
      <c r="A16" s="4" t="s">
        <v>197</v>
      </c>
      <c r="B16" s="4" t="s">
        <v>198</v>
      </c>
      <c r="C16" s="21" t="n">
        <v>0.143</v>
      </c>
      <c r="D16" s="4" t="s">
        <v>199</v>
      </c>
    </row>
    <row r="17" customFormat="false" ht="23.85" hidden="false" customHeight="false" outlineLevel="0" collapsed="false">
      <c r="A17" s="4" t="s">
        <v>200</v>
      </c>
      <c r="B17" s="4" t="s">
        <v>198</v>
      </c>
      <c r="C17" s="21" t="n">
        <v>0.918</v>
      </c>
      <c r="D17" s="4" t="s">
        <v>201</v>
      </c>
    </row>
    <row r="18" customFormat="false" ht="23.85" hidden="false" customHeight="false" outlineLevel="0" collapsed="false">
      <c r="A18" s="4" t="s">
        <v>202</v>
      </c>
      <c r="B18" s="4" t="s">
        <v>198</v>
      </c>
      <c r="C18" s="21" t="n">
        <v>0.002</v>
      </c>
      <c r="D18" s="4" t="s">
        <v>203</v>
      </c>
    </row>
    <row r="19" customFormat="false" ht="35.05" hidden="false" customHeight="false" outlineLevel="0" collapsed="false">
      <c r="A19" s="4" t="s">
        <v>204</v>
      </c>
      <c r="B19" s="4" t="s">
        <v>205</v>
      </c>
      <c r="C19" s="21" t="n">
        <v>0.068</v>
      </c>
      <c r="D19" s="4" t="s">
        <v>206</v>
      </c>
    </row>
    <row r="20" customFormat="false" ht="23.85" hidden="false" customHeight="false" outlineLevel="0" collapsed="false">
      <c r="A20" s="4" t="s">
        <v>207</v>
      </c>
      <c r="B20" s="4" t="s">
        <v>205</v>
      </c>
      <c r="C20" s="21" t="n">
        <v>0.923</v>
      </c>
      <c r="D20" s="4" t="s">
        <v>201</v>
      </c>
    </row>
    <row r="21" customFormat="false" ht="23.85" hidden="false" customHeight="false" outlineLevel="0" collapsed="false">
      <c r="A21" s="4" t="s">
        <v>208</v>
      </c>
      <c r="B21" s="4" t="s">
        <v>205</v>
      </c>
      <c r="C21" s="21" t="n">
        <v>0.016</v>
      </c>
      <c r="D21" s="4" t="s">
        <v>203</v>
      </c>
    </row>
    <row r="23" customFormat="false" ht="15" hidden="false" customHeight="false" outlineLevel="0" collapsed="false">
      <c r="A23" s="7" t="s">
        <v>209</v>
      </c>
    </row>
  </sheetData>
  <conditionalFormatting sqref="C9:N11">
    <cfRule type="colorScale" priority="2">
      <colorScale>
        <cfvo type="min" val="0"/>
        <cfvo type="max" val="0"/>
        <color rgb="FFFFFFFF"/>
        <color rgb="FF5B8DC9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14" min="3" style="0" width="6"/>
    <col collapsed="false" customWidth="true" hidden="false" outlineLevel="0" max="15" min="15" style="0" width="34"/>
  </cols>
  <sheetData>
    <row r="1" customFormat="false" ht="16.15" hidden="false" customHeight="false" outlineLevel="0" collapsed="false">
      <c r="A1" s="1" t="s">
        <v>210</v>
      </c>
    </row>
    <row r="3" customFormat="false" ht="15" hidden="false" customHeight="false" outlineLevel="0" collapsed="false">
      <c r="A3" s="3" t="s">
        <v>14</v>
      </c>
      <c r="B3" s="3" t="s">
        <v>211</v>
      </c>
      <c r="C3" s="3" t="s">
        <v>172</v>
      </c>
      <c r="D3" s="3" t="s">
        <v>173</v>
      </c>
      <c r="E3" s="3" t="s">
        <v>174</v>
      </c>
      <c r="F3" s="3" t="s">
        <v>175</v>
      </c>
      <c r="G3" s="3" t="s">
        <v>176</v>
      </c>
      <c r="H3" s="3" t="s">
        <v>177</v>
      </c>
      <c r="I3" s="3" t="s">
        <v>178</v>
      </c>
      <c r="J3" s="3" t="s">
        <v>179</v>
      </c>
      <c r="K3" s="3" t="s">
        <v>180</v>
      </c>
      <c r="L3" s="3" t="s">
        <v>181</v>
      </c>
      <c r="M3" s="3" t="s">
        <v>182</v>
      </c>
      <c r="N3" s="3" t="s">
        <v>183</v>
      </c>
      <c r="O3" s="3" t="s">
        <v>194</v>
      </c>
    </row>
    <row r="4" customFormat="false" ht="23.85" hidden="false" customHeight="false" outlineLevel="0" collapsed="false">
      <c r="A4" s="4" t="s">
        <v>25</v>
      </c>
      <c r="B4" s="4" t="s">
        <v>212</v>
      </c>
      <c r="C4" s="22" t="s">
        <v>213</v>
      </c>
      <c r="D4" s="22" t="s">
        <v>213</v>
      </c>
      <c r="E4" s="22" t="s">
        <v>213</v>
      </c>
      <c r="F4" s="22" t="s">
        <v>213</v>
      </c>
      <c r="G4" s="22"/>
      <c r="H4" s="22"/>
      <c r="I4" s="22"/>
      <c r="J4" s="22"/>
      <c r="K4" s="22" t="s">
        <v>214</v>
      </c>
      <c r="L4" s="22" t="s">
        <v>214</v>
      </c>
      <c r="M4" s="22" t="s">
        <v>214</v>
      </c>
      <c r="N4" s="22" t="s">
        <v>214</v>
      </c>
      <c r="O4" s="4" t="s">
        <v>215</v>
      </c>
    </row>
    <row r="5" customFormat="false" ht="23.85" hidden="false" customHeight="false" outlineLevel="0" collapsed="false">
      <c r="A5" s="4" t="s">
        <v>25</v>
      </c>
      <c r="B5" s="4" t="s">
        <v>216</v>
      </c>
      <c r="C5" s="22" t="s">
        <v>217</v>
      </c>
      <c r="D5" s="22" t="s">
        <v>213</v>
      </c>
      <c r="E5" s="22" t="s">
        <v>213</v>
      </c>
      <c r="F5" s="22" t="s">
        <v>213</v>
      </c>
      <c r="G5" s="22" t="s">
        <v>213</v>
      </c>
      <c r="H5" s="22"/>
      <c r="I5" s="22"/>
      <c r="J5" s="22"/>
      <c r="K5" s="22" t="s">
        <v>214</v>
      </c>
      <c r="L5" s="22" t="s">
        <v>214</v>
      </c>
      <c r="M5" s="22" t="s">
        <v>214</v>
      </c>
      <c r="N5" s="22" t="s">
        <v>214</v>
      </c>
      <c r="O5" s="4" t="s">
        <v>215</v>
      </c>
    </row>
    <row r="6" customFormat="false" ht="15" hidden="false" customHeight="false" outlineLevel="0" collapsed="false">
      <c r="A6" s="4" t="s">
        <v>218</v>
      </c>
      <c r="B6" s="4" t="s">
        <v>219</v>
      </c>
      <c r="C6" s="22"/>
      <c r="D6" s="22" t="s">
        <v>213</v>
      </c>
      <c r="E6" s="22" t="s">
        <v>213</v>
      </c>
      <c r="F6" s="22" t="s">
        <v>213</v>
      </c>
      <c r="G6" s="22" t="s">
        <v>213</v>
      </c>
      <c r="H6" s="22" t="s">
        <v>213</v>
      </c>
      <c r="I6" s="22"/>
      <c r="J6" s="22"/>
      <c r="K6" s="22" t="s">
        <v>214</v>
      </c>
      <c r="L6" s="22" t="s">
        <v>214</v>
      </c>
      <c r="M6" s="22" t="s">
        <v>214</v>
      </c>
      <c r="N6" s="22" t="s">
        <v>214</v>
      </c>
      <c r="O6" s="4" t="s">
        <v>220</v>
      </c>
    </row>
    <row r="7" customFormat="false" ht="15" hidden="false" customHeight="false" outlineLevel="0" collapsed="false">
      <c r="A7" s="4" t="s">
        <v>221</v>
      </c>
      <c r="B7" s="4" t="s">
        <v>219</v>
      </c>
      <c r="C7" s="22" t="s">
        <v>214</v>
      </c>
      <c r="D7" s="22" t="s">
        <v>214</v>
      </c>
      <c r="E7" s="22" t="s">
        <v>214</v>
      </c>
      <c r="F7" s="22"/>
      <c r="G7" s="22" t="s">
        <v>213</v>
      </c>
      <c r="H7" s="22" t="s">
        <v>213</v>
      </c>
      <c r="I7" s="22" t="s">
        <v>213</v>
      </c>
      <c r="J7" s="22" t="s">
        <v>213</v>
      </c>
      <c r="K7" s="22" t="s">
        <v>213</v>
      </c>
      <c r="L7" s="22"/>
      <c r="M7" s="22"/>
      <c r="N7" s="22"/>
      <c r="O7" s="4" t="s">
        <v>222</v>
      </c>
    </row>
    <row r="8" customFormat="false" ht="15" hidden="false" customHeight="false" outlineLevel="0" collapsed="false">
      <c r="A8" s="4" t="s">
        <v>63</v>
      </c>
      <c r="B8" s="4" t="s">
        <v>223</v>
      </c>
      <c r="C8" s="22" t="s">
        <v>214</v>
      </c>
      <c r="D8" s="22" t="s">
        <v>214</v>
      </c>
      <c r="E8" s="22"/>
      <c r="F8" s="22"/>
      <c r="G8" s="22"/>
      <c r="H8" s="22" t="s">
        <v>213</v>
      </c>
      <c r="I8" s="22" t="s">
        <v>213</v>
      </c>
      <c r="J8" s="22" t="s">
        <v>213</v>
      </c>
      <c r="K8" s="22" t="s">
        <v>213</v>
      </c>
      <c r="L8" s="22"/>
      <c r="M8" s="22" t="s">
        <v>214</v>
      </c>
      <c r="N8" s="22" t="s">
        <v>214</v>
      </c>
      <c r="O8" s="4" t="s">
        <v>224</v>
      </c>
    </row>
    <row r="9" customFormat="false" ht="15" hidden="false" customHeight="false" outlineLevel="0" collapsed="false">
      <c r="A9" s="4" t="s">
        <v>71</v>
      </c>
      <c r="B9" s="4" t="s">
        <v>216</v>
      </c>
      <c r="C9" s="22"/>
      <c r="D9" s="22"/>
      <c r="E9" s="22"/>
      <c r="F9" s="22" t="s">
        <v>214</v>
      </c>
      <c r="G9" s="22" t="s">
        <v>214</v>
      </c>
      <c r="H9" s="22" t="s">
        <v>214</v>
      </c>
      <c r="I9" s="22" t="s">
        <v>214</v>
      </c>
      <c r="J9" s="22" t="s">
        <v>213</v>
      </c>
      <c r="K9" s="22" t="s">
        <v>213</v>
      </c>
      <c r="L9" s="22" t="s">
        <v>213</v>
      </c>
      <c r="M9" s="22" t="s">
        <v>213</v>
      </c>
      <c r="N9" s="22" t="s">
        <v>213</v>
      </c>
      <c r="O9" s="4" t="s">
        <v>225</v>
      </c>
    </row>
    <row r="10" customFormat="false" ht="35.05" hidden="false" customHeight="false" outlineLevel="0" collapsed="false">
      <c r="A10" s="4" t="s">
        <v>44</v>
      </c>
      <c r="B10" s="4" t="s">
        <v>226</v>
      </c>
      <c r="C10" s="22" t="s">
        <v>214</v>
      </c>
      <c r="D10" s="22" t="s">
        <v>214</v>
      </c>
      <c r="E10" s="22" t="s">
        <v>214</v>
      </c>
      <c r="F10" s="22" t="s">
        <v>213</v>
      </c>
      <c r="G10" s="22" t="s">
        <v>213</v>
      </c>
      <c r="H10" s="22" t="s">
        <v>213</v>
      </c>
      <c r="I10" s="22" t="s">
        <v>213</v>
      </c>
      <c r="J10" s="22" t="s">
        <v>213</v>
      </c>
      <c r="K10" s="22" t="s">
        <v>213</v>
      </c>
      <c r="L10" s="22" t="s">
        <v>217</v>
      </c>
      <c r="M10" s="22" t="s">
        <v>217</v>
      </c>
      <c r="N10" s="22"/>
      <c r="O10" s="4" t="s">
        <v>227</v>
      </c>
    </row>
    <row r="11" customFormat="false" ht="35.05" hidden="false" customHeight="false" outlineLevel="0" collapsed="false">
      <c r="A11" s="4" t="s">
        <v>228</v>
      </c>
      <c r="B11" s="4" t="s">
        <v>229</v>
      </c>
      <c r="C11" s="22"/>
      <c r="D11" s="22"/>
      <c r="E11" s="22"/>
      <c r="F11" s="22"/>
      <c r="G11" s="22" t="s">
        <v>213</v>
      </c>
      <c r="H11" s="22" t="s">
        <v>213</v>
      </c>
      <c r="I11" s="22" t="s">
        <v>213</v>
      </c>
      <c r="J11" s="22" t="s">
        <v>213</v>
      </c>
      <c r="K11" s="22" t="s">
        <v>213</v>
      </c>
      <c r="L11" s="22"/>
      <c r="M11" s="22"/>
      <c r="N11" s="22"/>
      <c r="O11" s="4" t="s">
        <v>230</v>
      </c>
    </row>
    <row r="13" customFormat="false" ht="15" hidden="false" customHeight="false" outlineLevel="0" collapsed="false">
      <c r="A13" s="18" t="s">
        <v>231</v>
      </c>
    </row>
    <row r="14" customFormat="false" ht="15" hidden="false" customHeight="false" outlineLevel="0" collapsed="false">
      <c r="A14" s="23" t="str">
        <f aca="false">Sazonalidade_importacao!B9</f>
        <v>Nitrogenados</v>
      </c>
      <c r="B14" s="2" t="s">
        <v>232</v>
      </c>
      <c r="C14" s="24" t="n">
        <f aca="false">Sazonalidade_importacao!C9</f>
        <v>0.0819540133842777</v>
      </c>
      <c r="D14" s="24" t="n">
        <f aca="false">Sazonalidade_importacao!D9</f>
        <v>0.0758695602634318</v>
      </c>
      <c r="E14" s="24" t="n">
        <f aca="false">Sazonalidade_importacao!E9</f>
        <v>0.0658655343456364</v>
      </c>
      <c r="F14" s="24" t="n">
        <f aca="false">Sazonalidade_importacao!F9</f>
        <v>0.0563552530631158</v>
      </c>
      <c r="G14" s="24" t="n">
        <f aca="false">Sazonalidade_importacao!G9</f>
        <v>0.0568945741262619</v>
      </c>
      <c r="H14" s="24" t="n">
        <f aca="false">Sazonalidade_importacao!H9</f>
        <v>0.0636246933086208</v>
      </c>
      <c r="I14" s="24" t="n">
        <f aca="false">Sazonalidade_importacao!I9</f>
        <v>0.0713043214049694</v>
      </c>
      <c r="J14" s="24" t="n">
        <f aca="false">Sazonalidade_importacao!J9</f>
        <v>0.0829415026548269</v>
      </c>
      <c r="K14" s="24" t="n">
        <f aca="false">Sazonalidade_importacao!K9</f>
        <v>0.100807462380457</v>
      </c>
      <c r="L14" s="24" t="n">
        <f aca="false">Sazonalidade_importacao!L9</f>
        <v>0.115217209659164</v>
      </c>
      <c r="M14" s="24" t="n">
        <f aca="false">Sazonalidade_importacao!M9</f>
        <v>0.112604161127865</v>
      </c>
      <c r="N14" s="24" t="n">
        <f aca="false">Sazonalidade_importacao!N9</f>
        <v>0.116561714281374</v>
      </c>
    </row>
    <row r="15" customFormat="false" ht="15" hidden="false" customHeight="false" outlineLevel="0" collapsed="false">
      <c r="A15" s="23" t="str">
        <f aca="false">Sazonalidade_importacao!B10</f>
        <v>Potássicos</v>
      </c>
      <c r="B15" s="2" t="s">
        <v>232</v>
      </c>
      <c r="C15" s="24" t="n">
        <f aca="false">Sazonalidade_importacao!C10</f>
        <v>0.0553016128650262</v>
      </c>
      <c r="D15" s="24" t="n">
        <f aca="false">Sazonalidade_importacao!D10</f>
        <v>0.0592804869383985</v>
      </c>
      <c r="E15" s="24" t="n">
        <f aca="false">Sazonalidade_importacao!E10</f>
        <v>0.0698434502522322</v>
      </c>
      <c r="F15" s="24" t="n">
        <f aca="false">Sazonalidade_importacao!F10</f>
        <v>0.0708381687705753</v>
      </c>
      <c r="G15" s="24" t="n">
        <f aca="false">Sazonalidade_importacao!G10</f>
        <v>0.0929272355509241</v>
      </c>
      <c r="H15" s="24" t="n">
        <f aca="false">Sazonalidade_importacao!H10</f>
        <v>0.10250337493783</v>
      </c>
      <c r="I15" s="24" t="n">
        <f aca="false">Sazonalidade_importacao!I10</f>
        <v>0.10905588581263</v>
      </c>
      <c r="J15" s="24" t="n">
        <f aca="false">Sazonalidade_importacao!J10</f>
        <v>0.110508490633067</v>
      </c>
      <c r="K15" s="24" t="n">
        <f aca="false">Sazonalidade_importacao!K10</f>
        <v>0.0931719678848021</v>
      </c>
      <c r="L15" s="24" t="n">
        <f aca="false">Sazonalidade_importacao!L10</f>
        <v>0.081101137610623</v>
      </c>
      <c r="M15" s="24" t="n">
        <f aca="false">Sazonalidade_importacao!M10</f>
        <v>0.0794353788219691</v>
      </c>
      <c r="N15" s="24" t="n">
        <f aca="false">Sazonalidade_importacao!N10</f>
        <v>0.0760328099219225</v>
      </c>
    </row>
    <row r="16" customFormat="false" ht="15" hidden="false" customHeight="false" outlineLevel="0" collapsed="false">
      <c r="A16" s="23" t="str">
        <f aca="false">Sazonalidade_importacao!B11</f>
        <v>NPK, MAP, DAP (mistos)</v>
      </c>
      <c r="B16" s="2" t="s">
        <v>232</v>
      </c>
      <c r="C16" s="24" t="n">
        <f aca="false">Sazonalidade_importacao!C11</f>
        <v>0.0576205641492266</v>
      </c>
      <c r="D16" s="24" t="n">
        <f aca="false">Sazonalidade_importacao!D11</f>
        <v>0.0577229299363057</v>
      </c>
      <c r="E16" s="24" t="n">
        <f aca="false">Sazonalidade_importacao!E11</f>
        <v>0.0637056414922657</v>
      </c>
      <c r="F16" s="24" t="n">
        <f aca="false">Sazonalidade_importacao!F11</f>
        <v>0.0656164695177434</v>
      </c>
      <c r="G16" s="24" t="n">
        <f aca="false">Sazonalidade_importacao!G11</f>
        <v>0.0812101910828025</v>
      </c>
      <c r="H16" s="24" t="n">
        <f aca="false">Sazonalidade_importacao!H11</f>
        <v>0.0957802547770701</v>
      </c>
      <c r="I16" s="24" t="n">
        <f aca="false">Sazonalidade_importacao!I11</f>
        <v>0.109417652411283</v>
      </c>
      <c r="J16" s="24" t="n">
        <f aca="false">Sazonalidade_importacao!J11</f>
        <v>0.111169244767971</v>
      </c>
      <c r="K16" s="24" t="n">
        <f aca="false">Sazonalidade_importacao!K11</f>
        <v>0.108666969972702</v>
      </c>
      <c r="L16" s="24" t="n">
        <f aca="false">Sazonalidade_importacao!L11</f>
        <v>0.0916060054595086</v>
      </c>
      <c r="M16" s="24" t="n">
        <f aca="false">Sazonalidade_importacao!M11</f>
        <v>0.0870336669699727</v>
      </c>
      <c r="N16" s="24" t="n">
        <f aca="false">Sazonalidade_importacao!N11</f>
        <v>0.0704504094631483</v>
      </c>
    </row>
    <row r="18" customFormat="false" ht="15" hidden="false" customHeight="false" outlineLevel="0" collapsed="false">
      <c r="A18" s="7" t="s">
        <v>233</v>
      </c>
    </row>
  </sheetData>
  <conditionalFormatting sqref="C4:N11">
    <cfRule type="cellIs" priority="2" operator="equal" aboveAverage="0" equalAverage="0" bottom="0" percent="0" rank="0" text="" dxfId="0">
      <formula>"P"</formula>
    </cfRule>
    <cfRule type="cellIs" priority="3" operator="equal" aboveAverage="0" equalAverage="0" bottom="0" percent="0" rank="0" text="" dxfId="2">
      <formula>"C"</formula>
    </cfRule>
    <cfRule type="cellIs" priority="4" operator="equal" aboveAverage="0" equalAverage="0" bottom="0" percent="0" rank="0" text="" dxfId="3">
      <formula>"P/C"</formula>
    </cfRule>
  </conditionalFormatting>
  <conditionalFormatting sqref="C14:N16">
    <cfRule type="colorScale" priority="5">
      <colorScale>
        <cfvo type="min" val="0"/>
        <cfvo type="max" val="0"/>
        <color rgb="FFFFFFFF"/>
        <color rgb="FF5B8DC9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50"/>
    <col collapsed="false" customWidth="true" hidden="false" outlineLevel="0" max="3" min="3" style="0" width="70"/>
  </cols>
  <sheetData>
    <row r="1" customFormat="false" ht="16.15" hidden="false" customHeight="false" outlineLevel="0" collapsed="false">
      <c r="A1" s="1" t="s">
        <v>234</v>
      </c>
    </row>
    <row r="3" customFormat="false" ht="15" hidden="false" customHeight="false" outlineLevel="0" collapsed="false">
      <c r="A3" s="3" t="s">
        <v>235</v>
      </c>
      <c r="B3" s="3" t="s">
        <v>194</v>
      </c>
      <c r="C3" s="3" t="s">
        <v>236</v>
      </c>
    </row>
    <row r="4" customFormat="false" ht="15" hidden="false" customHeight="false" outlineLevel="0" collapsed="false">
      <c r="A4" s="4" t="s">
        <v>237</v>
      </c>
      <c r="B4" s="4" t="s">
        <v>238</v>
      </c>
      <c r="C4" s="4" t="s">
        <v>239</v>
      </c>
    </row>
    <row r="5" customFormat="false" ht="15" hidden="false" customHeight="false" outlineLevel="0" collapsed="false">
      <c r="A5" s="4" t="s">
        <v>240</v>
      </c>
      <c r="B5" s="4" t="s">
        <v>241</v>
      </c>
      <c r="C5" s="4" t="s">
        <v>242</v>
      </c>
    </row>
    <row r="6" customFormat="false" ht="15" hidden="false" customHeight="false" outlineLevel="0" collapsed="false">
      <c r="A6" s="4" t="s">
        <v>243</v>
      </c>
      <c r="B6" s="4" t="s">
        <v>244</v>
      </c>
      <c r="C6" s="4" t="s">
        <v>245</v>
      </c>
    </row>
    <row r="7" customFormat="false" ht="23.85" hidden="false" customHeight="false" outlineLevel="0" collapsed="false">
      <c r="A7" s="4" t="s">
        <v>246</v>
      </c>
      <c r="B7" s="4" t="s">
        <v>247</v>
      </c>
      <c r="C7" s="4" t="s">
        <v>248</v>
      </c>
    </row>
    <row r="8" customFormat="false" ht="23.85" hidden="false" customHeight="false" outlineLevel="0" collapsed="false">
      <c r="A8" s="4" t="s">
        <v>249</v>
      </c>
      <c r="B8" s="4" t="s">
        <v>250</v>
      </c>
      <c r="C8" s="4" t="s">
        <v>251</v>
      </c>
    </row>
    <row r="9" customFormat="false" ht="23.85" hidden="false" customHeight="false" outlineLevel="0" collapsed="false">
      <c r="A9" s="4" t="s">
        <v>252</v>
      </c>
      <c r="B9" s="4" t="s">
        <v>253</v>
      </c>
      <c r="C9" s="4" t="s">
        <v>254</v>
      </c>
    </row>
    <row r="10" customFormat="false" ht="23.85" hidden="false" customHeight="false" outlineLevel="0" collapsed="false">
      <c r="A10" s="4" t="s">
        <v>255</v>
      </c>
      <c r="B10" s="4" t="s">
        <v>256</v>
      </c>
      <c r="C10" s="4" t="s">
        <v>257</v>
      </c>
    </row>
    <row r="11" customFormat="false" ht="15" hidden="false" customHeight="false" outlineLevel="0" collapsed="false">
      <c r="A11" s="4" t="s">
        <v>258</v>
      </c>
      <c r="B11" s="4" t="s">
        <v>259</v>
      </c>
      <c r="C11" s="4" t="s">
        <v>260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2026-10-10T14:51:52Z</dcterms:created>
  <dc:creator>openpyxl</dc:creator>
  <dc:description/>
  <dc:language>en-US</dc:language>
  <cp:lastModifiedBy/>
  <dcterms:modified xsi:type="dcterms:W3CDTF">2026-10-10T14:51:52Z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